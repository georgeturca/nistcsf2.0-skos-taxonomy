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etency Questions" sheetId="1" state="visible" r:id="rId3"/>
    <sheet name="Category Summary"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<sst xmlns="http://schemas.openxmlformats.org/spreadsheetml/2006/main" count="203" uniqueCount="168">
  <si>
    <t xml:space="preserve">CQ nr</t>
  </si>
  <si>
    <t xml:space="preserve">Question</t>
  </si>
  <si>
    <t xml:space="preserve">Answer</t>
  </si>
  <si>
    <t xml:space="preserve">Why it is important</t>
  </si>
  <si>
    <t xml:space="preserve">Type</t>
  </si>
  <si>
    <t xml:space="preserve">CQ01</t>
  </si>
  <si>
    <t xml:space="preserve">Which CSF outcomes help an organization understand its mission, stakeholders, dependencies, and legal or contractual requirements?</t>
  </si>
  <si>
    <t xml:space="preserve">GV.OC-01 — The organizational mission is understood and informs cybersecurity risk management
GV.OC-02 — Internal and external stakeholders are understood, and their needs and expectations regarding cybersecurity risk management are understood and considered
GV.OC-03 — Legal, regulatory, and contractual requirements regarding cybersecurity - including privacy and civil liberties obligations - are understood and managed
GV.OC-04 — Critical objectives, capabilities, and services that external stakeholders depend on or expect from the organization are understood and communicated
GV.OC-05 — Outcomes, capabilities, and services that the organization depends on are understood and communicated</t>
  </si>
  <si>
    <t xml:space="preserve">Practitioners need to understand the organization’s context before deciding which cybersecurity risks, controls, and priorities are relevant.</t>
  </si>
  <si>
    <t xml:space="preserve">Governance, Risk &amp; Supply Chain Retrieval</t>
  </si>
  <si>
    <t xml:space="preserve">CQ02</t>
  </si>
  <si>
    <t xml:space="preserve">Which CSF outcomes help define cybersecurity risk objectives, risk appetite, and risk tolerance?</t>
  </si>
  <si>
    <t xml:space="preserve">GV.RM-01 — Risk management objectives are established and agreed to by organizational stakeholders
GV.RM-02 — Risk appetite and risk tolerance statements are established, communicated, and maintained
GV.RM-03 — Cybersecurity risk management activities and outcomes are included in enterprise risk management processes
GV.RM-04 — Strategic direction that describes appropriate risk response options is established and communicated
GV.RM-05 — Lines of communication across the organization are established for cybersecurity risks, including risks from suppliers and other third parties
GV.RM-06 — A standardized method for calculating, documenting, categorizing, and prioritizing cybersecurity risks is established and communicated
GV.RM-07 — Strategic opportunities (i.e., positive risks) are characterized and are included in organizational cybersecurity risk discussions</t>
  </si>
  <si>
    <t xml:space="preserve">This is important because cybersecurity decisions should be aligned with enterprise risk management and business priorities.</t>
  </si>
  <si>
    <t xml:space="preserve">CQ03</t>
  </si>
  <si>
    <t xml:space="preserve">Which CSF outcomes help define who is responsible and accountable for cybersecurity risk management?</t>
  </si>
  <si>
    <t xml:space="preserve">GV.RR-01 — Organizational leadership is responsible and accountable for cybersecurity risk and fosters a culture that is risk-aware, ethical, and continually improving
GV.RR-02 — Roles, responsibilities, and authorities related to cybersecurity risk management are established, communicated, understood, and enforced
GV.RR-03 — Adequate resources are allocated commensurate with the cybersecurity risk strategy, roles, responsibilities, and policies
GV.RR-04 — Cybersecurity is included in human resources practices</t>
  </si>
  <si>
    <t xml:space="preserve">Practitioners often need to clarify ownership, accountability, and responsibility for cybersecurity activities.</t>
  </si>
  <si>
    <t xml:space="preserve">CQ04</t>
  </si>
  <si>
    <t xml:space="preserve">Which CSF outcomes help manage cybersecurity risks from suppliers and third parties?</t>
  </si>
  <si>
    <t xml:space="preserve">GV.SC-01 — A cybersecurity supply chain risk management program, strategy, objectives, policies, and processes are established and agreed to by organizational stakeholders
GV.SC-02 — Cybersecurity roles and responsibilities for suppliers, customers, and partners are established, communicated, and coordinated internally and externally
GV.SC-03 — Cybersecurity supply chain risk management is integrated into cybersecurity and enterprise risk management, risk assessment, and improvement processes
GV.SC-04 — Suppliers are known and prioritized by criticality
GV.SC-05 — Requirements to address cybersecurity risks in supply chains are established, prioritized, and integrated into contracts and other types of agreements with suppliers and other relevant third parties
GV.SC-06 — Planning and due diligence are performed to reduce risks before entering into formal supplier or other third-party relationships
GV.SC-07 — The risks posed by a supplier, their products and services, and other third parties are understood, recorded, prioritized, assessed, responded to, and monitored over the course of the relationship
GV.SC-08 — Relevant suppliers and other third parties are included in incident planning, response, and recovery activities
GV.SC-09 — Supply chain security practices are integrated into cybersecurity and enterprise risk management programs, and their performance is monitored throughout the technology product and service life cycle
GV.SC-10 — Cybersecurity supply chain risk management plans include provisions for activities that occur after the conclusion of a partnership or service agreement</t>
  </si>
  <si>
    <t xml:space="preserve">Supply chain risk is common in practice, so practitioners need to identify outcomes for vendor and third-party risk management.</t>
  </si>
  <si>
    <t xml:space="preserve">CQ05</t>
  </si>
  <si>
    <t xml:space="preserve">Which CSF outcomes help identify and inventory hardware, software, services, systems, and data?</t>
  </si>
  <si>
    <t xml:space="preserve">ID.AM-01 — Inventories of hardware managed by the organization are maintained
ID.AM-02 — Inventories of software, services, and systems managed by the organization are maintained
ID.AM-03 — Representations of the organization's authorized network communication and internal and external network data flows are maintained
ID.AM-04 — Inventories of services provided by suppliers are maintained
ID.AM-05 — Assets are prioritized based on classification, criticality, resources, and impact on the mission
ID.AM-07 — Inventories of data and corresponding metadata for designated data types are maintained
ID.AM-08 — Systems, hardware, software, services, and data are managed throughout their life cycles</t>
  </si>
  <si>
    <t xml:space="preserve">Organizations cannot protect what they do not know they have, so asset inventory is a basic practitioner need.</t>
  </si>
  <si>
    <t xml:space="preserve">Identify: Asset, Risk &amp; Improvement Retrieval</t>
  </si>
  <si>
    <t xml:space="preserve">CQ06</t>
  </si>
  <si>
    <t xml:space="preserve">Which CSF outcomes help assess vulnerabilities, threats, likelihood, and impact?</t>
  </si>
  <si>
    <t xml:space="preserve">ID.RA-01 — Vulnerabilities in assets are identified, validated, and recorded
ID.RA-02 — Cyber threat intelligence is received from information sharing forums and sources
ID.RA-03 — Internal and external threats to the organization are identified and recorded
ID.RA-04 — Potential impacts and likelihoods of threats exploiting vulnerabilities are identified and recorded
ID.RA-05 — Threats, vulnerabilities, likelihoods, and impacts are used to understand inherent risk and inform risk response prioritization
ID.RA-06 — Risk responses are chosen, prioritized, planned, tracked, and communicated
ID.RA-07 — Changes and exceptions are managed, assessed for risk impact, recorded, and tracked
ID.RA-08 — Processes for receiving, analyzing, and responding to vulnerability disclosures are established
ID.RA-09 — The authenticity and integrity of hardware and software are assessed prior to acquisition and use
ID.RA-10 — Critical suppliers are assessed prior to acquisition</t>
  </si>
  <si>
    <t xml:space="preserve">Risk assessment helps practitioners prioritize which cybersecurity issues require action first.</t>
  </si>
  <si>
    <t xml:space="preserve">CQ07</t>
  </si>
  <si>
    <t xml:space="preserve">Which CSF outcomes help identify improvements after audits, assessments, incidents, or lessons learned?</t>
  </si>
  <si>
    <t xml:space="preserve">ID.IM-01 — Improvements are identified from evaluations
ID.IM-02 — Improvements are identified from security tests and exercises, including those done in coordination with suppliers and relevant third parties
ID.IM-03 — Improvements are identified from execution of operational processes, procedures, and activities
ID.IM-04 — Incident response plans and other cybersecurity plans that affect operations are established, communicated, maintained, and improved</t>
  </si>
  <si>
    <t xml:space="preserve">Cybersecurity programs should improve over time based on evidence, incidents, tests, and reviews.</t>
  </si>
  <si>
    <t xml:space="preserve">CQ08</t>
  </si>
  <si>
    <t xml:space="preserve">Which CSF outcomes help manage identity, authentication, and access control?</t>
  </si>
  <si>
    <t xml:space="preserve">PR.AA-01 — Identities and credentials for authorized users, services, and hardware are managed by the organization
PR.AA-02 — Identities are proofed and bound to credentials based on the context of interactions
PR.AA-03 — Users, services, and hardware are authenticated
PR.AA-04 — Identity assertions are protected, conveyed, and verified
PR.AA-05 — Access permissions, entitlements, and authorizations are defined in a policy, managed, enforced, and reviewed, and incorporate the principles of least privilege and separation of duties
PR.AA-06 — Physical access to assets is managed, monitored, and enforced commensurate with risk</t>
  </si>
  <si>
    <t xml:space="preserve">Access control is one of the most common security areas practitioners work with.</t>
  </si>
  <si>
    <t xml:space="preserve">Protect: Access, Data &amp; Platform Security Retrieval</t>
  </si>
  <si>
    <t xml:space="preserve">CQ09</t>
  </si>
  <si>
    <t xml:space="preserve">Which CSF outcomes help protect employees and users through cybersecurity awareness and training?</t>
  </si>
  <si>
    <t xml:space="preserve">PR.AT-01 — Personnel are provided with awareness and training so that they possess the knowledge and skills to perform general tasks with cybersecurity risks in mind
PR.AT-02 — Individuals in specialized roles are provided with awareness and training so that they possess the knowledge and skills to perform relevant tasks with cybersecurity risks in mind</t>
  </si>
  <si>
    <t xml:space="preserve">People are part of the security system, so practitioners need outcomes related to awareness and role-specific training.</t>
  </si>
  <si>
    <t xml:space="preserve">CQ10</t>
  </si>
  <si>
    <t xml:space="preserve">Which CSF outcomes help protect data confidentiality, integrity, and availability?</t>
  </si>
  <si>
    <t xml:space="preserve">PR.DS-01 — The confidentiality, integrity, and availability of data-at-rest are protected
PR.DS-02 — The confidentiality, integrity, and availability of data-in-transit are protected
PR.DS-10 — The confidentiality, integrity, and availability of data-in-use are protected
PR.DS-11 — Backups of data are created, protected, maintained, and tested</t>
  </si>
  <si>
    <t xml:space="preserve">Data protection is a core concern for organizations handling sensitive, personal, financial, or business-critical information.</t>
  </si>
  <si>
    <t xml:space="preserve">CQ11</t>
  </si>
  <si>
    <t xml:space="preserve">Which CSF outcomes help protect systems through secure configuration, patching, backups, logging, and infrastructure resilience?</t>
  </si>
  <si>
    <t xml:space="preserve">PR.PS — Platform Security
PR.PS-01 — Configuration management practices are established and applied
PR.PS-02 — Software is maintained, replaced, and removed commensurate with risk
PR.PS-03 — Hardware is maintained, replaced, and removed commensurate with risk
PR.PS-04 — Log records are generated and made available for continuous monitoring
PR.PS-05 — Installation and execution of unauthorized software are prevented
PR.PS-06 — Secure software development practices are integrated, and their performance is monitored throughout the software development life cycle
PR.IR — Technology Infrastructure Resilience
PR.IR-01 — Networks and environments are protected from unauthorized logical access and usage
PR.IR-02 — The organization's technology assets are protected from environmental threats
PR.IR-03 — Mechanisms are implemented to achieve resilience requirements in normal and adverse situations
PR.IR-04 — Adequate resource capacity to ensure availability is maintained</t>
  </si>
  <si>
    <t xml:space="preserve">Practitioners need to find outcomes related to system hardening, maintenance, logging, resilience, and operational protection.</t>
  </si>
  <si>
    <t xml:space="preserve">CQ12</t>
  </si>
  <si>
    <t xml:space="preserve">Which CSF outcomes help detect cybersecurity attacks, anomalies, and suspicious activity?</t>
  </si>
  <si>
    <t xml:space="preserve">DE.CM-01 — Networks and network services are monitored to find potentially adverse events
DE.CM-02 — The physical environment is monitored to find potentially adverse events
DE.CM-03 — Personnel activity and technology usage are monitored to find potentially adverse events
DE.CM-06 — External service provider activities and services are monitored to find potentially adverse events
DE.CM-09 — Computing hardware and software, runtime environments, and their data are monitored to find potentially adverse events</t>
  </si>
  <si>
    <t xml:space="preserve">Detection outcomes are important for security monitoring, alerting, and identifying possible attacks.</t>
  </si>
  <si>
    <t xml:space="preserve">Detect, Respond &amp; Recover Operations</t>
  </si>
  <si>
    <t xml:space="preserve">CQ13</t>
  </si>
  <si>
    <t xml:space="preserve">Which CSF outcomes help manage and execute incident response activities?</t>
  </si>
  <si>
    <t xml:space="preserve">RS.MA-01 — The incident response plan is executed in coordination with relevant third parties once an incident is declared
RS.MA-02 — Incident reports are triaged and validated
RS.MA-03 — Incidents are categorized and prioritized
RS.MA-04 — Incidents are escalated or elevated as needed
RS.MA-05 — The criteria for initiating incident recovery are applied</t>
  </si>
  <si>
    <t xml:space="preserve">Incident response teams need to know which outcomes describe coordination and execution of response activities.</t>
  </si>
  <si>
    <t xml:space="preserve">CQ14</t>
  </si>
  <si>
    <t xml:space="preserve">Which CSF outcomes help communicate and report cybersecurity incidents?</t>
  </si>
  <si>
    <t xml:space="preserve">RS.CO-02 — Internal and external stakeholders are notified of incidents
RS.CO-03 — Information is shared with designated internal and external stakeholders</t>
  </si>
  <si>
    <t xml:space="preserve">Communication is important during incidents because internal teams, management, customers, regulators, or partners may need to be informed.</t>
  </si>
  <si>
    <t xml:space="preserve">CQ15</t>
  </si>
  <si>
    <t xml:space="preserve">Which CSF outcomes help contain, eradicate, or mitigate cybersecurity incidents?</t>
  </si>
  <si>
    <t xml:space="preserve">RS.MI-01 — Incidents are contained
RS.MI-02 — Incidents are eradicated</t>
  </si>
  <si>
    <t xml:space="preserve">Practitioners need to know which outcomes support reducing the impact of an active incident.</t>
  </si>
  <si>
    <t xml:space="preserve">CQ16</t>
  </si>
  <si>
    <t xml:space="preserve">Which CSF outcomes help communicate recovery status after an incident?</t>
  </si>
  <si>
    <t xml:space="preserve">RC.CO-03 — Recovery activities and progress in restoring operational capabilities are communicated to designated internal and external stakeholders
RC.CO-04 — Public updates on incident recovery are shared using approved methods and messaging</t>
  </si>
  <si>
    <t xml:space="preserve">Recovery communication helps keep stakeholders informed about restoration progress and business impact.</t>
  </si>
  <si>
    <t xml:space="preserve">CQ17</t>
  </si>
  <si>
    <t xml:space="preserve">Which NIST CSF Function covers establishing cybersecurity policy and oversight over cybersecurity risk management?</t>
  </si>
  <si>
    <t xml:space="preserve">GV — GOVERN: The organization's cybersecurity risk management strategy, expectations, and policy are established, communicated, and monitored
GV.PO — Policy: Organizational cybersecurity policy is established, communicated, and enforced
GV.OV — Oversight: Results of organization-wide cybersecurity risk management activities and performance are used to inform, improve, and adjust the risk management strategy</t>
  </si>
  <si>
    <t xml:space="preserve">Practitioners often need to identify where governance, policy, oversight, and responsibility are located in the CSF before building a cybersecurity program or assigning management accountability.</t>
  </si>
  <si>
    <t xml:space="preserve">NIST CSF Structure, Definitions &amp; Navigation</t>
  </si>
  <si>
    <t xml:space="preserve">CQ18</t>
  </si>
  <si>
    <t xml:space="preserve">What is the definition of the NIST CSF GV.OV Oversight Category?</t>
  </si>
  <si>
    <t xml:space="preserve">GV.OV — Results of organization-wide cybersecurity risk management activities and performance are used to inform, improve, and adjust the risk management strategy.</t>
  </si>
  <si>
    <t xml:space="preserve">This helps leadership understand what NIST CSF means by oversight. It is more useful than only listing Subcategories because it explains the purpose of the Category in plain terms.</t>
  </si>
  <si>
    <t xml:space="preserve">CQ19</t>
  </si>
  <si>
    <t xml:space="preserve">What is the definition of the NIST CSF ID.RA-08 Subcategory?</t>
  </si>
  <si>
    <t xml:space="preserve">ID.RA-08 — Processes for receiving, analyzing, and responding to vulnerability disclosures are established.</t>
  </si>
  <si>
    <t xml:space="preserve">This is practical for vulnerability management teams because it checks whether the taxonomy can retrieve exact Subcategory definitions needed for disclosure handling, triage, and vulnerability response processes.</t>
  </si>
  <si>
    <t xml:space="preserve">CQ20</t>
  </si>
  <si>
    <t xml:space="preserve">Which NIST CSF Category does RS.AN-06 belong to, and what is its definition?</t>
  </si>
  <si>
    <t xml:space="preserve">RS.AN-06 belongs to RS.AN Incident Analysis. Definition: Actions performed during an investigation are recorded, and the records' integrity and provenance are preserved.</t>
  </si>
  <si>
    <t xml:space="preserve">This is useful for incident responders and auditors because investigation records need to be trustworthy. It also tests whether the taxonomy supports both upward hierarchy navigation and definition retrieval.</t>
  </si>
  <si>
    <t xml:space="preserve">CQ21</t>
  </si>
  <si>
    <t xml:space="preserve">Which NIST CSF outcomes and references are relevant when responding to a leaked accounts database containing user account information?</t>
  </si>
  <si>
    <t xml:space="preserve">ID.AM-07 — Inventories of data and corresponding metadata for designated data types are maintained
ID.RA-04 — Potential impacts and likelihoods of threats exploiting vulnerabilities are identified and recorded
DE.AE-04 — The estimated impact and scope of adverse events are understood
DE.AE-08 — Incidents are declared when adverse events meet the defined incident criteria
RS.AN-03 — Analysis is performed to establish what has taken place during an incident and the root cause of the incident
RS.AN-07 — Incident data and metadata are collected, and their integrity and provenance are preserved
RS.CO-02 — Internal and external stakeholders are notified of incidents
RS.MI-01 — Incidents are contained
RC.RP-02 — Recovery actions are selected, scoped, prioritized, and performed
ID.IM-04 — Incident response plans and other cybersecurity plans that affect operations are established, communicated, maintained, and improved</t>
  </si>
  <si>
    <t xml:space="preserve">This tests whether the taxonomy can help practitioners move from a real incident scenario to relevant CSF outcomes and references.</t>
  </si>
  <si>
    <t xml:space="preserve">Scenario-Based Practitioner Retrieval</t>
  </si>
  <si>
    <t xml:space="preserve">CQ22</t>
  </si>
  <si>
    <t xml:space="preserve">Which NIST CSF outcomes and references are relevant when employee credentials are suspected to be compromised?</t>
  </si>
  <si>
    <t xml:space="preserve">PR.AA-01 — Identities and credentials for authorized users, services, and hardware are managed by the organization
PR.AA-03 — Users, services, and hardware are authenticated
PR.AA-05 — Access permissions, entitlements, and authorizations are defined in a policy, managed, enforced, and reviewed, and incorporate the principles of least privilege and separation of duties
DE.CM-03 — Personnel activity and technology usage are monitored to find potentially adverse events
DE.AE-02 — Potentially adverse events are analyzed to better understand associated activities
RS.AN-03 — Analysis is performed to establish what has taken place during an incident and the root cause of the incident
RS.MI-01 — Incidents are contained
RS.CO-02 — Internal and external stakeholders are notified of incidents
ID.IM-04 — Incident response plans and other cybersecurity plans that affect operations are established, communicated, maintained, and improved</t>
  </si>
  <si>
    <t xml:space="preserve">Credential compromise is common and connects access control, monitoring, incident analysis, mitigation, communication, and improvement.</t>
  </si>
  <si>
    <t xml:space="preserve">CQ23</t>
  </si>
  <si>
    <t xml:space="preserve">Which NIST CSF outcomes and references are relevant when ransomware affects critical business systems?</t>
  </si>
  <si>
    <t xml:space="preserve">ID.AM-05 — Assets are prioritized based on classification, criticality, resources, and impact on the mission
PR.DS-11 — Backups of data are created, protected, maintained, and tested
PR.PS-01 — Configuration management practices are established and applied
PR.PS-04 — Log records are generated and made available for continuous monitoring
PR.IR-03 — Mechanisms are implemented to achieve resilience requirements in normal and adverse situations
DE.CM-09 — Computing hardware and software, runtime environments, and their data are monitored to find potentially adverse events
RS.MA-01 — The incident response plan is executed in coordination with relevant third parties once an incident is declared
RS.MI-01 — Incidents are contained
RS.MI-02 — Incidents are eradicated
RC.RP-01 — The recovery portion of the incident response plan is executed once initiated from the incident response process
RC.RP-03 — The integrity of backups and other restoration assets is verified before using them for restoration
RC.CO-03 — Recovery activities and progress in restoring operational capabilities are communicated to designated internal and external stakeholders</t>
  </si>
  <si>
    <t xml:space="preserve">Ransomware requires protection, detection, response, recovery, and communication, making it a useful cross-function practitioner scenario.</t>
  </si>
  <si>
    <t xml:space="preserve">CQ24</t>
  </si>
  <si>
    <t xml:space="preserve">Which NIST CSF outcomes and references are relevant when a third-party supplier suffers a security breach?</t>
  </si>
  <si>
    <t xml:space="preserve">GV.SC-04 — Suppliers are known and prioritized by criticality
GV.SC-07 — The risks posed by a supplier, their products and services, and other third parties are understood, recorded, prioritized, assessed, responded to, and monitored over the course of the relationship
GV.SC-08 — Relevant suppliers and other third parties are included in incident planning, response, and recovery activities
GV.OC-05 — Outcomes, capabilities, and services that the organization depends on are understood and communicated
ID.RA-10 — Critical suppliers are assessed prior to acquisition
DE.AE-04 — The estimated impact and scope of adverse events are understood
RS.CO-02 — Internal and external stakeholders are notified of incidents
RS.MI-01 — Incidents are contained
ID.IM-02 — Improvements are identified from security tests and exercises, including those done in coordination with suppliers and relevant third parties</t>
  </si>
  <si>
    <t xml:space="preserve">Supplier breaches require supply-chain governance, dependency understanding, risk assessment, incident response, and improvement.</t>
  </si>
  <si>
    <t xml:space="preserve">CQ25</t>
  </si>
  <si>
    <t xml:space="preserve">Which NIST CSF Subcategories are relevant when an organization discovers unpatched internet-facing systems?</t>
  </si>
  <si>
    <t xml:space="preserve">ID.AM-01 — Inventories of hardware managed by the organization are maintained
ID.AM-02 — Inventories of software, services, and systems managed by the organization are maintained
ID.RA-01 — Vulnerabilities in assets are identified, validated, and recorded
ID.RA-05 — Threats, vulnerabilities, likelihoods, and impacts are used to understand inherent risk and inform risk response prioritization
ID.RA-06 — Risk responses are chosen, prioritized, planned, tracked, and communicated
PR.PS-02 — Software is maintained, replaced, and removed commensurate with risk
DE.CM-09 — Computing hardware and software, runtime environments, and their data are monitored to find potentially adverse events
RS.MI-01 — Incidents are contained
ID.IM-03 — Improvements are identified from execution of operational processes, procedures, and activities</t>
  </si>
  <si>
    <t xml:space="preserve">This is practical for vulnerability and exposure management. It helps security engineers connect asset inventory, vulnerability tracking, risk prioritization, patching, monitoring, containment, and process improvement for internet-facing systems.</t>
  </si>
  <si>
    <t xml:space="preserve">CQ26</t>
  </si>
  <si>
    <t xml:space="preserve">Which NIST CSF Subcategories are relevant when a cloud storage bucket containing sensitive data is accidentally exposed to the internet?</t>
  </si>
  <si>
    <t xml:space="preserve">ID.AM-04 — Inventories of services provided by suppliers are maintained. ID.AM-07 — Inventories of data and corresponding metadata for designated data types are maintained. PR.DS-01 — The confidentiality, integrity, and availability of data-at-rest are protected. PR.DS-02 — The confidentiality, integrity, and availability of data-in-transit are protected. PR.AA-05 — Access permissions, entitlements, and authorizations are defined in a policy, managed, enforced, and reviewed, and incorporate the principles of least privilege and separation of duties. DE.CM-09 — Computing hardware and software, runtime environments, and their data are monitored to find potentially adverse events. DE.AE-04 — The estimated impact and scope of adverse events are understood. DE.AE-08 — Incidents are declared when adverse events meet the defined incident criteria. RS.MI-01 — Incidents are contained. RS.CO-02 — Internal and external stakeholders are notified of incidents.</t>
  </si>
  <si>
    <t xml:space="preserve">This scenario is practical for cloud security and data protection. It checks whether the taxonomy can support questions about supplier/cloud services, sensitive data inventory, access permissions, data protection, monitoring, impact assessment, incident declaration, containment, and notification.</t>
  </si>
  <si>
    <t xml:space="preserve">CQ27</t>
  </si>
  <si>
    <t xml:space="preserve">Which ISO/IEC 27001 controls are related to NIST CSF access-control outcomes?</t>
  </si>
  <si>
    <t xml:space="preserve">PR.AA-01 → A.5.15 — Access control; A.5.18 — Access rights; A.8.2 — Privileged access rights; A.8.5 — Secure authentication
PR.AA-02 → A.8.2 — Privileged access rights; A.8.3 — Information access restriction; A.8.5 — Secure authentication
PR.AA-03 → A.5.15 — Access control; A.5.16 — Identity management; A.5.17 — Authentication information; A.5.18 — Access rights; A.8.5 — Secure authentication
PR.AA-04 → A.5.16 — Identity management
PR.AA-05 → A.5.1 — Policies for information security; A.5.14 — Information transfer; A.5.15 — Access control; A.5.16 — Identity management; A.5.17 — Authentication information; A.5.18 — Access rights; A.5.3 — Segregation of duties; A.8.18 — Use of privileged utility programs; A.8.2 — Privileged access rights; A.8.3 — Information access restriction; A.8.5 — Secure authentication
PR.AA-06 → A.7.1 — Physical security perimeters; A.7.12 — Cabling security; A.7.2 — Physical entry; A.7.3 — Securing offices, rooms and facilities; A.7.4 — Physical security monitoring</t>
  </si>
  <si>
    <t xml:space="preserve">Many organizations use both NIST CSF and ISO/IEC 27001, so practitioners need to navigate from CSF outcomes to related ISO controls.</t>
  </si>
  <si>
    <t xml:space="preserve">Cross-Standard Mapping &amp; ISO/IEC 27001 Navigation</t>
  </si>
  <si>
    <t xml:space="preserve">CQ28</t>
  </si>
  <si>
    <t xml:space="preserve">Which ISO/IEC 27001 controls are linked to the NIST CSF PR.PS-04 Subcategory for log records and continuous monitoring?</t>
  </si>
  <si>
    <t xml:space="preserve">PR.PS-04 links to A.8.15 Logging and A.8.17 Clock synchronization.</t>
  </si>
  <si>
    <t xml:space="preserve">This is practical for SOC teams and auditors because logging is not useful unless logs are generated, available, and time-synchronized. This question verifies whether the taxonomy can connect NIST logging requirements to ISO/IEC 27001 evidence areas.</t>
  </si>
  <si>
    <t xml:space="preserve">CQ29</t>
  </si>
  <si>
    <t xml:space="preserve">Which NIST CSF Subcategories are linked to ISO/IEC 27001 control A.8.13 Information backup?</t>
  </si>
  <si>
    <t xml:space="preserve">Relevant NIST CSF concepts include PR.DS-11, RC.RP-03, and RC.RP-06.</t>
  </si>
  <si>
    <t xml:space="preserve">This is useful for backup, disaster recovery, and audit teams because it works in the reverse direction: starting from an ISO control and finding the related NIST CSF Subcategories. It helps show that the taxonomy supports navigation both from NIST to ISO and from ISO back to NIST.</t>
  </si>
  <si>
    <t xml:space="preserve">CQ30</t>
  </si>
  <si>
    <t xml:space="preserve">Who is responsible for cybersecurity risk management and supplier security responsibilities?</t>
  </si>
  <si>
    <t xml:space="preserve">GV.RR-01 — Organizational leadership is responsible and accountable for cybersecurity risk and fosters a culture that is risk-aware, ethical, and continually improving
GV.RR-02 — Roles, responsibilities, and authorities related to cybersecurity risk management are established, communicated, understood, and enforced
GV.SC-02 — Cybersecurity roles and responsibilities for suppliers, customers, and partners are established, communicated, and coordinated internally and externally</t>
  </si>
  <si>
    <t xml:space="preserve">This is important because practitioners often ask who owns a cybersecurity activity, but the taxonomy can answer this by returning outcomes about responsibility and accountability.</t>
  </si>
  <si>
    <t xml:space="preserve">Practitioner-Focused Control &amp; Responsibility Retrieval</t>
  </si>
  <si>
    <t xml:space="preserve">CQ31</t>
  </si>
  <si>
    <t xml:space="preserve">How can user accounts and credentials be protected against unauthorized access?</t>
  </si>
  <si>
    <t xml:space="preserve">PR.AA-01 — Identities and credentials for authorized users, services, and hardware are managed by the organization
PR.AA-02 — Identities are proofed and bound to credentials based on the context of interactions
PR.AA-03 — Users, services, and hardware are authenticated
PR.AA-04 — Identity assertions are protected, conveyed, and verified
PR.AA-05 — Access permissions, entitlements, and authorizations are defined in a policy, managed, enforced, and reviewed, and incorporate the principles of least privilege and separation of duties
DE.CM-03 — Personnel activity and technology usage are monitored to find potentially adverse events</t>
  </si>
  <si>
    <t xml:space="preserve">This tests whether the taxonomy can support a practical protection question by returning relevant protection and monitoring outcomes.</t>
  </si>
  <si>
    <t xml:space="preserve">CQ32</t>
  </si>
  <si>
    <t xml:space="preserve">Which CSF outcomes help ensure backups are available and safe to use after an incident?</t>
  </si>
  <si>
    <t xml:space="preserve">PR.DS-11 — Backups of data are created, protected, maintained, and tested
RC.RP-03 — The integrity of backups and other restoration assets is verified before using them for restoration
RC.RP-05 — The integrity of restored assets is verified, systems and services are restored, and normal operating status is confirmed</t>
  </si>
  <si>
    <t xml:space="preserve">Backups are critical in incidents such as ransomware, but practitioners also need to verify backup integrity before restoration.</t>
  </si>
  <si>
    <t xml:space="preserve">CQ33</t>
  </si>
  <si>
    <t xml:space="preserve">Which CSF outcomes help monitor supplier or external service provider cybersecurity activities?</t>
  </si>
  <si>
    <t xml:space="preserve">GV.SC-07 — The risks posed by a supplier, their products and services, and other third parties are understood, recorded, prioritized, assessed, responded to, and monitored over the course of the relationship
GV.SC-09 — Supply chain security practices are integrated into cybersecurity and enterprise risk management programs, and their performance is monitored throughout the technology product and service life cycle
DE.CM-06 — External service provider activities and services are monitored to find potentially adverse events</t>
  </si>
  <si>
    <t xml:space="preserve">This is important because supplier risk is not only assessed once; practitioners need to monitor supplier activities over time.</t>
  </si>
  <si>
    <t xml:space="preserve">CQ34</t>
  </si>
  <si>
    <t xml:space="preserve">Which CSF subcategories help decide whether an adverse event should become a declared incident and be escalated?</t>
  </si>
  <si>
    <t xml:space="preserve">DE.AE-08 — Incidents are declared when adverse events meet the defined incident criteria
RS.MA-02 — Incident reports are triaged and validated
RS.MA-03 — Incidents are categorized and prioritized
RS.MA-04 — Incidents are escalated or elevated as needed</t>
  </si>
  <si>
    <t xml:space="preserve">Practitioners need to know how suspicious events move from detection to incident declaration, prioritization, and escalation.</t>
  </si>
  <si>
    <t xml:space="preserve">Count</t>
  </si>
  <si>
    <t xml:space="preserve">Purpose / meaning</t>
  </si>
  <si>
    <t xml:space="preserve">Question IDs</t>
  </si>
  <si>
    <t xml:space="preserve">Questions that retrieve NIST CSF outcomes for governance context, policy, risk appetite, accountability, and supplier risk.</t>
  </si>
  <si>
    <t xml:space="preserve">CQ01-CQ05</t>
  </si>
  <si>
    <t xml:space="preserve">Questions focused on identifying assets, risks, vulnerabilities, threats, likelihood, impact, and improvement activities.</t>
  </si>
  <si>
    <t xml:space="preserve">CQ06-CQ08</t>
  </si>
  <si>
    <t xml:space="preserve">Questions focused on protective controls such as identity/access, awareness, data security, configuration, patching, and platform hardening.</t>
  </si>
  <si>
    <t xml:space="preserve">CQ09-CQ12</t>
  </si>
  <si>
    <t xml:space="preserve">Questions focused on operational detection, event analysis, incident response, communication, mitigation, recovery, and restoration.</t>
  </si>
  <si>
    <t xml:space="preserve">CQ13-CQ19</t>
  </si>
  <si>
    <t xml:space="preserve">Questions that ask for CSF functions, category/subcategory definitions, parent-child navigation, and framework structure.</t>
  </si>
  <si>
    <t xml:space="preserve">CQ20, CQ33-CQ35</t>
  </si>
  <si>
    <t xml:space="preserve">Scenario questions where a practitioner starts from a real situation and retrieves relevant CSF outcomes and references.</t>
  </si>
  <si>
    <t xml:space="preserve">CQ21-CQ24, CQ31, CQ36</t>
  </si>
  <si>
    <t xml:space="preserve">Questions that navigate from NIST CSF outcomes/subcategories to related ISO/IEC 27001 controls.</t>
  </si>
  <si>
    <t xml:space="preserve">CQ25, CQ32</t>
  </si>
  <si>
    <t xml:space="preserve">Practical questions asking who is responsible or which outcomes support a concrete security action, without a full incident scenario.</t>
  </si>
  <si>
    <t xml:space="preserve">CQ26-CQ30</t>
  </si>
</sst>
</file>

<file path=xl/styles.xml><?xml version="1.0" encoding="utf-8"?>
<styleSheet xmlns="http://schemas.openxmlformats.org/spreadsheetml/2006/main">
  <numFmts count="4">
    <numFmt numFmtId="164" formatCode="General"/>
    <numFmt numFmtId="165" formatCode="_-* #,##0.00_-;\-* #,##0.00_-;_-* \-??_-;_-@_-"/>
    <numFmt numFmtId="166" formatCode="_-* #,##0_-;\-* #,##0_-;_-* \-_-;_-@_-"/>
    <numFmt numFmtId="167" formatCode="0%"/>
  </numFmts>
  <fonts count="12">
    <font>
      <sz val="10"/>
      <name val="Arial"/>
      <family val="2"/>
      <charset val="1"/>
    </font>
    <font>
      <sz val="10"/>
      <name val="Arial"/>
      <family val="0"/>
    </font>
    <font>
      <sz val="10"/>
      <name val="Arial"/>
      <family val="0"/>
    </font>
    <font>
      <sz val="10"/>
      <name val="Arial"/>
      <family val="0"/>
    </font>
    <font>
      <sz val="10"/>
      <name val="Arial"/>
      <family val="0"/>
      <charset val="1"/>
    </font>
    <font>
      <sz val="11"/>
      <name val="Calibri"/>
      <family val="0"/>
      <charset val="1"/>
    </font>
    <font>
      <sz val="11"/>
      <name val="Arial"/>
      <family val="0"/>
      <charset val="1"/>
    </font>
    <font>
      <sz val="11"/>
      <name val="Arial"/>
      <family val="2"/>
      <charset val="1"/>
    </font>
    <font>
      <b val="true"/>
      <sz val="11"/>
      <color rgb="FFFFFFFF"/>
      <name val="Calibri"/>
      <family val="0"/>
      <charset val="1"/>
    </font>
    <font>
      <b val="true"/>
      <sz val="11"/>
      <color rgb="FFFFFFFF"/>
      <name val="Arial"/>
      <family val="0"/>
      <charset val="1"/>
    </font>
    <font>
      <sz val="11"/>
      <name val="Calibri"/>
      <family val="2"/>
      <charset val="1"/>
    </font>
    <font>
      <b val="true"/>
      <sz val="10"/>
      <color rgb="FFFFFFFF"/>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true" applyProtection="false">
      <alignment horizontal="general" vertical="bottom" textRotation="0" wrapText="false" indent="0" shrinkToFit="false"/>
    </xf>
    <xf numFmtId="166" fontId="4"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6"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false" applyAlignment="true" applyProtection="false">
      <alignment horizontal="general" vertical="bottom" textRotation="0" wrapText="false" indent="0" shrinkToFit="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24"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24" applyFont="true" applyBorder="true" applyAlignment="true" applyProtection="true">
      <alignment horizontal="center" vertical="top" textRotation="0" wrapText="true" indent="0" shrinkToFit="false"/>
      <protection locked="true" hidden="false"/>
    </xf>
    <xf numFmtId="164" fontId="9" fillId="2" borderId="0" xfId="24" applyFont="true" applyBorder="true" applyAlignment="true" applyProtection="true">
      <alignment horizontal="center" vertical="top" textRotation="0" wrapText="true" indent="0" shrinkToFit="false"/>
      <protection locked="true" hidden="false"/>
    </xf>
    <xf numFmtId="164" fontId="10" fillId="0" borderId="0" xfId="24" applyFont="true" applyBorder="true" applyAlignment="true" applyProtection="true">
      <alignment horizontal="general" vertical="top" textRotation="0" wrapText="true" indent="0" shrinkToFit="false"/>
      <protection locked="true" hidden="false"/>
    </xf>
    <xf numFmtId="164" fontId="10" fillId="0" borderId="0" xfId="24" applyFont="true" applyBorder="true" applyAlignment="true" applyProtection="true">
      <alignment horizontal="general" vertical="top" textRotation="0" wrapText="true" indent="0" shrinkToFit="false"/>
      <protection locked="true" hidden="false"/>
    </xf>
    <xf numFmtId="164" fontId="10" fillId="0" borderId="0" xfId="24" applyFont="true" applyBorder="true" applyAlignment="true" applyProtection="true">
      <alignment horizontal="left" vertical="top" textRotation="0" wrapText="true" indent="0" shrinkToFit="false"/>
      <protection locked="true" hidden="false"/>
    </xf>
    <xf numFmtId="164" fontId="5" fillId="0" borderId="0" xfId="24" applyFont="true" applyBorder="true" applyAlignment="true" applyProtection="true">
      <alignment horizontal="general" vertical="top" textRotation="0" wrapText="true" indent="0" shrinkToFit="false"/>
      <protection locked="true" hidden="false"/>
    </xf>
    <xf numFmtId="164" fontId="6" fillId="0" borderId="0" xfId="24" applyFont="true" applyBorder="true" applyAlignment="true" applyProtection="true">
      <alignment horizontal="general" vertical="top" textRotation="0" wrapText="true" indent="0" shrinkToFit="false"/>
      <protection locked="true" hidden="false"/>
    </xf>
    <xf numFmtId="164" fontId="5" fillId="0" borderId="0" xfId="25" applyFont="true" applyBorder="true" applyAlignment="true" applyProtection="true">
      <alignment horizontal="general" vertical="top" textRotation="0" wrapText="true" indent="0" shrinkToFit="false"/>
      <protection locked="true" hidden="false"/>
    </xf>
    <xf numFmtId="164" fontId="5" fillId="0" borderId="0" xfId="24"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1" fillId="2" borderId="0" xfId="24" applyFont="true" applyBorder="true" applyAlignment="true" applyProtection="true">
      <alignment horizontal="center" vertical="top" textRotation="0" wrapText="true" indent="0" shrinkToFit="false"/>
      <protection locked="true" hidden="false"/>
    </xf>
    <xf numFmtId="164" fontId="4" fillId="0" borderId="0" xfId="24" applyFont="true" applyBorder="true" applyAlignment="true" applyProtection="true">
      <alignment horizontal="general" vertical="top"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Normal 1" xfId="25"/>
    <cellStyle name="Percent" xfId="26"/>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CategorySummary" displayName="CategorySummary" ref="A1:D9" headerRowCount="1" totalsRowCount="0" totalsRowShown="0">
  <tableColumns count="4">
    <tableColumn id="1" name="Type"/>
    <tableColumn id="2" name="Count"/>
    <tableColumn id="3" name="Purpose / meaning"/>
    <tableColumn id="4" name="Question IDs"/>
  </tableColumns>
</table>
</file>

<file path=xl/tables/table2.xml><?xml version="1.0" encoding="utf-8"?>
<table xmlns="http://schemas.openxmlformats.org/spreadsheetml/2006/main" id="2" name="CompetencyQuestionsCategorized" displayName="CompetencyQuestionsCategorized" ref="A1:E42" headerRowCount="1" totalsRowCount="0" totalsRowShown="0">
  <tableColumns count="5">
    <tableColumn id="1" name="CQ nr"/>
    <tableColumn id="2" name="Question"/>
    <tableColumn id="3" name="Answer"/>
    <tableColumn id="4" name="Why it is important"/>
    <tableColumn id="5" name="Type"/>
  </tableColumns>
</table>
</file>

<file path=xl/tables/table3.xml><?xml version="1.0" encoding="utf-8"?>
<table xmlns="http://schemas.openxmlformats.org/spreadsheetml/2006/main" id="3" name="CompetencyQuestionsTable" displayName="CompetencyQuestionsTable" ref="A1:D36" headerRowCount="1" totalsRowCount="0" totalsRowShown="0">
  <tableColumns count="4">
    <tableColumn id="1" name="CQ nr"/>
    <tableColumn id="2" name="Question"/>
    <tableColumn id="3" name="Answer"/>
    <tableColumn id="4" name="Why it is important"/>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39" activeCellId="0" sqref="B39"/>
    </sheetView>
  </sheetViews>
  <sheetFormatPr defaultColWidth="9.7578125" defaultRowHeight="15" zeroHeight="false" outlineLevelRow="0" outlineLevelCol="0"/>
  <cols>
    <col collapsed="false" customWidth="true" hidden="false" outlineLevel="0" max="1" min="1" style="1" width="10"/>
    <col collapsed="false" customWidth="true" hidden="false" outlineLevel="0" max="2" min="2" style="1" width="48"/>
    <col collapsed="false" customWidth="true" hidden="false" outlineLevel="0" max="4" min="3" style="1" width="52"/>
    <col collapsed="false" customWidth="true" hidden="false" outlineLevel="0" max="5" min="5" style="2" width="38"/>
    <col collapsed="false" customWidth="false" hidden="false" outlineLevel="0" max="16384" min="6" style="3" width="9.76"/>
  </cols>
  <sheetData>
    <row r="1" customFormat="false" ht="28" hidden="false" customHeight="true" outlineLevel="0" collapsed="false">
      <c r="A1" s="4" t="s">
        <v>0</v>
      </c>
      <c r="B1" s="4" t="s">
        <v>1</v>
      </c>
      <c r="C1" s="4" t="s">
        <v>2</v>
      </c>
      <c r="D1" s="4" t="s">
        <v>3</v>
      </c>
      <c r="E1" s="5" t="s">
        <v>4</v>
      </c>
    </row>
    <row r="2" customFormat="false" ht="124.6" hidden="false" customHeight="true" outlineLevel="0" collapsed="false">
      <c r="A2" s="6" t="s">
        <v>5</v>
      </c>
      <c r="B2" s="6" t="s">
        <v>6</v>
      </c>
      <c r="C2" s="6" t="s">
        <v>7</v>
      </c>
      <c r="D2" s="6" t="s">
        <v>8</v>
      </c>
      <c r="E2" s="7" t="s">
        <v>9</v>
      </c>
    </row>
    <row r="3" customFormat="false" ht="124.6" hidden="false" customHeight="true" outlineLevel="0" collapsed="false">
      <c r="A3" s="6" t="s">
        <v>10</v>
      </c>
      <c r="B3" s="6" t="s">
        <v>11</v>
      </c>
      <c r="C3" s="6" t="s">
        <v>12</v>
      </c>
      <c r="D3" s="6" t="s">
        <v>13</v>
      </c>
      <c r="E3" s="7" t="s">
        <v>9</v>
      </c>
    </row>
    <row r="4" customFormat="false" ht="124.6" hidden="false" customHeight="true" outlineLevel="0" collapsed="false">
      <c r="A4" s="6" t="s">
        <v>14</v>
      </c>
      <c r="B4" s="6" t="s">
        <v>15</v>
      </c>
      <c r="C4" s="6" t="s">
        <v>16</v>
      </c>
      <c r="D4" s="6" t="s">
        <v>17</v>
      </c>
      <c r="E4" s="7" t="s">
        <v>9</v>
      </c>
    </row>
    <row r="5" customFormat="false" ht="124.6" hidden="false" customHeight="true" outlineLevel="0" collapsed="false">
      <c r="A5" s="6" t="s">
        <v>18</v>
      </c>
      <c r="B5" s="6" t="s">
        <v>19</v>
      </c>
      <c r="C5" s="6" t="s">
        <v>20</v>
      </c>
      <c r="D5" s="6" t="s">
        <v>21</v>
      </c>
      <c r="E5" s="7" t="s">
        <v>9</v>
      </c>
    </row>
    <row r="6" customFormat="false" ht="124.6" hidden="false" customHeight="true" outlineLevel="0" collapsed="false">
      <c r="A6" s="6" t="s">
        <v>22</v>
      </c>
      <c r="B6" s="6" t="s">
        <v>23</v>
      </c>
      <c r="C6" s="6" t="s">
        <v>24</v>
      </c>
      <c r="D6" s="6" t="s">
        <v>25</v>
      </c>
      <c r="E6" s="7" t="s">
        <v>26</v>
      </c>
    </row>
    <row r="7" customFormat="false" ht="124.6" hidden="false" customHeight="true" outlineLevel="0" collapsed="false">
      <c r="A7" s="6" t="s">
        <v>27</v>
      </c>
      <c r="B7" s="6" t="s">
        <v>28</v>
      </c>
      <c r="C7" s="6" t="s">
        <v>29</v>
      </c>
      <c r="D7" s="6" t="s">
        <v>30</v>
      </c>
      <c r="E7" s="7" t="s">
        <v>26</v>
      </c>
    </row>
    <row r="8" customFormat="false" ht="124.6" hidden="false" customHeight="true" outlineLevel="0" collapsed="false">
      <c r="A8" s="6" t="s">
        <v>31</v>
      </c>
      <c r="B8" s="6" t="s">
        <v>32</v>
      </c>
      <c r="C8" s="6" t="s">
        <v>33</v>
      </c>
      <c r="D8" s="6" t="s">
        <v>34</v>
      </c>
      <c r="E8" s="7" t="s">
        <v>26</v>
      </c>
    </row>
    <row r="9" customFormat="false" ht="124.6" hidden="false" customHeight="true" outlineLevel="0" collapsed="false">
      <c r="A9" s="6" t="s">
        <v>35</v>
      </c>
      <c r="B9" s="6" t="s">
        <v>36</v>
      </c>
      <c r="C9" s="6" t="s">
        <v>37</v>
      </c>
      <c r="D9" s="6" t="s">
        <v>38</v>
      </c>
      <c r="E9" s="8" t="s">
        <v>39</v>
      </c>
    </row>
    <row r="10" customFormat="false" ht="124.6" hidden="false" customHeight="true" outlineLevel="0" collapsed="false">
      <c r="A10" s="6" t="s">
        <v>40</v>
      </c>
      <c r="B10" s="6" t="s">
        <v>41</v>
      </c>
      <c r="C10" s="6" t="s">
        <v>42</v>
      </c>
      <c r="D10" s="6" t="s">
        <v>43</v>
      </c>
      <c r="E10" s="7" t="s">
        <v>39</v>
      </c>
    </row>
    <row r="11" customFormat="false" ht="124.6" hidden="false" customHeight="true" outlineLevel="0" collapsed="false">
      <c r="A11" s="6" t="s">
        <v>44</v>
      </c>
      <c r="B11" s="6" t="s">
        <v>45</v>
      </c>
      <c r="C11" s="6" t="s">
        <v>46</v>
      </c>
      <c r="D11" s="6" t="s">
        <v>47</v>
      </c>
      <c r="E11" s="7" t="s">
        <v>39</v>
      </c>
    </row>
    <row r="12" customFormat="false" ht="124.6" hidden="false" customHeight="true" outlineLevel="0" collapsed="false">
      <c r="A12" s="6" t="s">
        <v>48</v>
      </c>
      <c r="B12" s="6" t="s">
        <v>49</v>
      </c>
      <c r="C12" s="6" t="s">
        <v>50</v>
      </c>
      <c r="D12" s="6" t="s">
        <v>51</v>
      </c>
      <c r="E12" s="7" t="s">
        <v>39</v>
      </c>
    </row>
    <row r="13" customFormat="false" ht="124.6" hidden="false" customHeight="true" outlineLevel="0" collapsed="false">
      <c r="A13" s="6" t="s">
        <v>52</v>
      </c>
      <c r="B13" s="6" t="s">
        <v>53</v>
      </c>
      <c r="C13" s="6" t="s">
        <v>54</v>
      </c>
      <c r="D13" s="6" t="s">
        <v>55</v>
      </c>
      <c r="E13" s="7" t="s">
        <v>56</v>
      </c>
    </row>
    <row r="14" customFormat="false" ht="124.6" hidden="false" customHeight="true" outlineLevel="0" collapsed="false">
      <c r="A14" s="6" t="s">
        <v>57</v>
      </c>
      <c r="B14" s="6" t="s">
        <v>58</v>
      </c>
      <c r="C14" s="6" t="s">
        <v>59</v>
      </c>
      <c r="D14" s="6" t="s">
        <v>60</v>
      </c>
      <c r="E14" s="7" t="s">
        <v>56</v>
      </c>
    </row>
    <row r="15" customFormat="false" ht="124.6" hidden="false" customHeight="true" outlineLevel="0" collapsed="false">
      <c r="A15" s="6" t="s">
        <v>61</v>
      </c>
      <c r="B15" s="6" t="s">
        <v>62</v>
      </c>
      <c r="C15" s="6" t="s">
        <v>63</v>
      </c>
      <c r="D15" s="6" t="s">
        <v>64</v>
      </c>
      <c r="E15" s="7" t="s">
        <v>56</v>
      </c>
    </row>
    <row r="16" customFormat="false" ht="124.6" hidden="false" customHeight="true" outlineLevel="0" collapsed="false">
      <c r="A16" s="6" t="s">
        <v>65</v>
      </c>
      <c r="B16" s="6" t="s">
        <v>66</v>
      </c>
      <c r="C16" s="6" t="s">
        <v>67</v>
      </c>
      <c r="D16" s="6" t="s">
        <v>68</v>
      </c>
      <c r="E16" s="7" t="s">
        <v>56</v>
      </c>
    </row>
    <row r="17" customFormat="false" ht="124.6" hidden="false" customHeight="true" outlineLevel="0" collapsed="false">
      <c r="A17" s="6" t="s">
        <v>69</v>
      </c>
      <c r="B17" s="6" t="s">
        <v>70</v>
      </c>
      <c r="C17" s="6" t="s">
        <v>71</v>
      </c>
      <c r="D17" s="6" t="s">
        <v>72</v>
      </c>
      <c r="E17" s="7" t="s">
        <v>56</v>
      </c>
    </row>
    <row r="18" customFormat="false" ht="124.6" hidden="false" customHeight="true" outlineLevel="0" collapsed="false">
      <c r="A18" s="6" t="s">
        <v>73</v>
      </c>
      <c r="B18" s="6" t="s">
        <v>74</v>
      </c>
      <c r="C18" s="6" t="s">
        <v>75</v>
      </c>
      <c r="D18" s="6" t="s">
        <v>76</v>
      </c>
      <c r="E18" s="7" t="s">
        <v>77</v>
      </c>
    </row>
    <row r="19" customFormat="false" ht="124.6" hidden="false" customHeight="true" outlineLevel="0" collapsed="false">
      <c r="A19" s="6" t="s">
        <v>78</v>
      </c>
      <c r="B19" s="6" t="s">
        <v>79</v>
      </c>
      <c r="C19" s="6" t="s">
        <v>80</v>
      </c>
      <c r="D19" s="6" t="s">
        <v>81</v>
      </c>
      <c r="E19" s="7" t="s">
        <v>77</v>
      </c>
    </row>
    <row r="20" customFormat="false" ht="124.6" hidden="false" customHeight="true" outlineLevel="0" collapsed="false">
      <c r="A20" s="6" t="s">
        <v>82</v>
      </c>
      <c r="B20" s="6" t="s">
        <v>83</v>
      </c>
      <c r="C20" s="6" t="s">
        <v>84</v>
      </c>
      <c r="D20" s="6" t="s">
        <v>85</v>
      </c>
      <c r="E20" s="7" t="s">
        <v>77</v>
      </c>
    </row>
    <row r="21" customFormat="false" ht="124.6" hidden="false" customHeight="true" outlineLevel="0" collapsed="false">
      <c r="A21" s="6" t="s">
        <v>86</v>
      </c>
      <c r="B21" s="6" t="s">
        <v>87</v>
      </c>
      <c r="C21" s="6" t="s">
        <v>88</v>
      </c>
      <c r="D21" s="6" t="s">
        <v>89</v>
      </c>
      <c r="E21" s="7" t="s">
        <v>77</v>
      </c>
    </row>
    <row r="22" customFormat="false" ht="124.6" hidden="false" customHeight="true" outlineLevel="0" collapsed="false">
      <c r="A22" s="6" t="s">
        <v>90</v>
      </c>
      <c r="B22" s="6" t="s">
        <v>91</v>
      </c>
      <c r="C22" s="6" t="s">
        <v>92</v>
      </c>
      <c r="D22" s="6" t="s">
        <v>93</v>
      </c>
      <c r="E22" s="7" t="s">
        <v>94</v>
      </c>
    </row>
    <row r="23" customFormat="false" ht="124.6" hidden="false" customHeight="true" outlineLevel="0" collapsed="false">
      <c r="A23" s="6" t="s">
        <v>95</v>
      </c>
      <c r="B23" s="6" t="s">
        <v>96</v>
      </c>
      <c r="C23" s="6" t="s">
        <v>97</v>
      </c>
      <c r="D23" s="6" t="s">
        <v>98</v>
      </c>
      <c r="E23" s="7" t="s">
        <v>94</v>
      </c>
    </row>
    <row r="24" customFormat="false" ht="124.6" hidden="false" customHeight="true" outlineLevel="0" collapsed="false">
      <c r="A24" s="6" t="s">
        <v>99</v>
      </c>
      <c r="B24" s="6" t="s">
        <v>100</v>
      </c>
      <c r="C24" s="6" t="s">
        <v>101</v>
      </c>
      <c r="D24" s="6" t="s">
        <v>102</v>
      </c>
      <c r="E24" s="7" t="s">
        <v>94</v>
      </c>
    </row>
    <row r="25" customFormat="false" ht="124.6" hidden="false" customHeight="true" outlineLevel="0" collapsed="false">
      <c r="A25" s="6" t="s">
        <v>103</v>
      </c>
      <c r="B25" s="6" t="s">
        <v>104</v>
      </c>
      <c r="C25" s="6" t="s">
        <v>105</v>
      </c>
      <c r="D25" s="6" t="s">
        <v>106</v>
      </c>
      <c r="E25" s="7" t="s">
        <v>94</v>
      </c>
    </row>
    <row r="26" customFormat="false" ht="124.6" hidden="false" customHeight="true" outlineLevel="0" collapsed="false">
      <c r="A26" s="6" t="s">
        <v>107</v>
      </c>
      <c r="B26" s="6" t="s">
        <v>108</v>
      </c>
      <c r="C26" s="6" t="s">
        <v>109</v>
      </c>
      <c r="D26" s="6" t="s">
        <v>110</v>
      </c>
      <c r="E26" s="7" t="s">
        <v>94</v>
      </c>
    </row>
    <row r="27" customFormat="false" ht="124.6" hidden="false" customHeight="true" outlineLevel="0" collapsed="false">
      <c r="A27" s="6" t="s">
        <v>111</v>
      </c>
      <c r="B27" s="6" t="s">
        <v>112</v>
      </c>
      <c r="C27" s="6" t="s">
        <v>113</v>
      </c>
      <c r="D27" s="6" t="s">
        <v>114</v>
      </c>
      <c r="E27" s="7" t="s">
        <v>94</v>
      </c>
    </row>
    <row r="28" customFormat="false" ht="124.6" hidden="false" customHeight="true" outlineLevel="0" collapsed="false">
      <c r="A28" s="6" t="s">
        <v>115</v>
      </c>
      <c r="B28" s="6" t="s">
        <v>116</v>
      </c>
      <c r="C28" s="6" t="s">
        <v>117</v>
      </c>
      <c r="D28" s="6" t="s">
        <v>118</v>
      </c>
      <c r="E28" s="7" t="s">
        <v>119</v>
      </c>
    </row>
    <row r="29" customFormat="false" ht="124.6" hidden="false" customHeight="true" outlineLevel="0" collapsed="false">
      <c r="A29" s="6" t="s">
        <v>120</v>
      </c>
      <c r="B29" s="6" t="s">
        <v>121</v>
      </c>
      <c r="C29" s="6" t="s">
        <v>122</v>
      </c>
      <c r="D29" s="6" t="s">
        <v>123</v>
      </c>
      <c r="E29" s="7" t="s">
        <v>119</v>
      </c>
    </row>
    <row r="30" customFormat="false" ht="124.6" hidden="false" customHeight="true" outlineLevel="0" collapsed="false">
      <c r="A30" s="6" t="s">
        <v>124</v>
      </c>
      <c r="B30" s="6" t="s">
        <v>125</v>
      </c>
      <c r="C30" s="6" t="s">
        <v>126</v>
      </c>
      <c r="D30" s="6" t="s">
        <v>127</v>
      </c>
      <c r="E30" s="7" t="s">
        <v>119</v>
      </c>
    </row>
    <row r="31" customFormat="false" ht="124.6" hidden="false" customHeight="true" outlineLevel="0" collapsed="false">
      <c r="A31" s="6" t="s">
        <v>128</v>
      </c>
      <c r="B31" s="6" t="s">
        <v>129</v>
      </c>
      <c r="C31" s="6" t="s">
        <v>130</v>
      </c>
      <c r="D31" s="6" t="s">
        <v>131</v>
      </c>
      <c r="E31" s="7" t="s">
        <v>132</v>
      </c>
    </row>
    <row r="32" customFormat="false" ht="124.6" hidden="false" customHeight="true" outlineLevel="0" collapsed="false">
      <c r="A32" s="6" t="s">
        <v>133</v>
      </c>
      <c r="B32" s="6" t="s">
        <v>134</v>
      </c>
      <c r="C32" s="6" t="s">
        <v>135</v>
      </c>
      <c r="D32" s="6" t="s">
        <v>136</v>
      </c>
      <c r="E32" s="7" t="s">
        <v>132</v>
      </c>
    </row>
    <row r="33" customFormat="false" ht="124.6" hidden="false" customHeight="true" outlineLevel="0" collapsed="false">
      <c r="A33" s="6" t="s">
        <v>137</v>
      </c>
      <c r="B33" s="6" t="s">
        <v>138</v>
      </c>
      <c r="C33" s="6" t="s">
        <v>139</v>
      </c>
      <c r="D33" s="6" t="s">
        <v>140</v>
      </c>
      <c r="E33" s="7" t="s">
        <v>132</v>
      </c>
    </row>
    <row r="34" customFormat="false" ht="124.6" hidden="false" customHeight="true" outlineLevel="0" collapsed="false">
      <c r="A34" s="6" t="s">
        <v>141</v>
      </c>
      <c r="B34" s="6" t="s">
        <v>142</v>
      </c>
      <c r="C34" s="6" t="s">
        <v>143</v>
      </c>
      <c r="D34" s="6" t="s">
        <v>144</v>
      </c>
      <c r="E34" s="7" t="s">
        <v>132</v>
      </c>
    </row>
    <row r="35" customFormat="false" ht="124.6" hidden="false" customHeight="true" outlineLevel="0" collapsed="false">
      <c r="A35" s="6" t="s">
        <v>145</v>
      </c>
      <c r="B35" s="6" t="s">
        <v>146</v>
      </c>
      <c r="C35" s="6" t="s">
        <v>147</v>
      </c>
      <c r="D35" s="6" t="s">
        <v>148</v>
      </c>
      <c r="E35" s="7" t="s">
        <v>132</v>
      </c>
    </row>
    <row r="36" customFormat="false" ht="14.15" hidden="false" customHeight="true" outlineLevel="0" collapsed="false">
      <c r="A36" s="2"/>
      <c r="B36" s="2"/>
      <c r="C36" s="2"/>
      <c r="D36" s="2"/>
    </row>
    <row r="37" customFormat="false" ht="14.15" hidden="false" customHeight="true" outlineLevel="0" collapsed="false">
      <c r="A37" s="9"/>
      <c r="B37" s="9"/>
      <c r="C37" s="9"/>
      <c r="D37" s="9"/>
      <c r="E37" s="10"/>
    </row>
    <row r="38" customFormat="false" ht="14.15" hidden="false" customHeight="true" outlineLevel="0" collapsed="false">
      <c r="A38" s="9"/>
      <c r="B38" s="9"/>
      <c r="C38" s="9"/>
      <c r="D38" s="9"/>
      <c r="E38" s="10"/>
    </row>
    <row r="39" customFormat="false" ht="14.15" hidden="false" customHeight="true" outlineLevel="0" collapsed="false">
      <c r="A39" s="2"/>
      <c r="B39" s="2"/>
      <c r="C39" s="2"/>
      <c r="D39" s="2"/>
    </row>
    <row r="40" customFormat="false" ht="14.15" hidden="false" customHeight="true" outlineLevel="0" collapsed="false">
      <c r="A40" s="2"/>
      <c r="B40" s="2"/>
      <c r="C40" s="2"/>
      <c r="D40" s="2"/>
    </row>
    <row r="41" customFormat="false" ht="14.15" hidden="false" customHeight="true" outlineLevel="0" collapsed="false">
      <c r="A41" s="2"/>
      <c r="B41" s="2"/>
      <c r="C41" s="2"/>
      <c r="D41" s="2"/>
    </row>
    <row r="42" customFormat="false" ht="14.15" hidden="false" customHeight="true" outlineLevel="0" collapsed="false">
      <c r="A42" s="2"/>
      <c r="B42" s="2"/>
      <c r="C42" s="2"/>
      <c r="D42" s="2"/>
    </row>
    <row r="43" customFormat="false" ht="14.15" hidden="false" customHeight="true" outlineLevel="0" collapsed="false">
      <c r="A43" s="11"/>
      <c r="B43" s="12"/>
      <c r="C43" s="12"/>
      <c r="D43" s="12"/>
    </row>
    <row r="44" customFormat="false" ht="14.15" hidden="false" customHeight="true" outlineLevel="0" collapsed="false">
      <c r="A44" s="11"/>
      <c r="B44" s="12"/>
      <c r="C44" s="12"/>
      <c r="D44" s="12"/>
    </row>
    <row r="45" customFormat="false" ht="14.15" hidden="false" customHeight="true" outlineLevel="0" collapsed="false">
      <c r="A45" s="11"/>
      <c r="B45" s="12"/>
      <c r="C45" s="12"/>
      <c r="D45" s="12"/>
    </row>
    <row r="46" customFormat="false" ht="14.15" hidden="false" customHeight="true" outlineLevel="0" collapsed="false">
      <c r="A46" s="11"/>
      <c r="B46" s="12"/>
      <c r="C46" s="12"/>
      <c r="D46" s="12"/>
    </row>
    <row r="47" customFormat="false" ht="14.15" hidden="false" customHeight="true" outlineLevel="0" collapsed="false">
      <c r="A47" s="11"/>
      <c r="B47" s="12"/>
      <c r="C47" s="12"/>
      <c r="D47" s="12"/>
    </row>
    <row r="48" customFormat="false" ht="14.15" hidden="false" customHeight="true" outlineLevel="0" collapsed="false">
      <c r="A48" s="11"/>
      <c r="B48" s="12"/>
      <c r="C48" s="12"/>
      <c r="D48" s="12"/>
    </row>
    <row r="49" customFormat="false" ht="14.15" hidden="false" customHeight="true" outlineLevel="0" collapsed="false">
      <c r="A49" s="11"/>
      <c r="B49" s="12"/>
      <c r="C49" s="12"/>
      <c r="D49" s="12"/>
    </row>
    <row r="50" customFormat="false" ht="14.15" hidden="false" customHeight="true" outlineLevel="0" collapsed="false">
      <c r="A50" s="11"/>
      <c r="B50" s="12"/>
      <c r="C50" s="12"/>
      <c r="D50" s="12"/>
    </row>
    <row r="51" customFormat="false" ht="14.15" hidden="false" customHeight="true" outlineLevel="0" collapsed="false">
      <c r="A51" s="11"/>
      <c r="B51" s="12"/>
      <c r="C51" s="12"/>
      <c r="D51" s="12"/>
    </row>
    <row r="52" customFormat="false" ht="14.15" hidden="false" customHeight="true" outlineLevel="0" collapsed="false">
      <c r="A52" s="11"/>
      <c r="B52" s="12"/>
      <c r="C52" s="12"/>
      <c r="D52" s="12"/>
    </row>
    <row r="53" customFormat="false" ht="14.15" hidden="false" customHeight="true" outlineLevel="0" collapsed="false">
      <c r="A53" s="11"/>
      <c r="B53" s="12"/>
      <c r="C53" s="12"/>
      <c r="D53" s="12"/>
    </row>
    <row r="54" customFormat="false" ht="14.15" hidden="false" customHeight="true" outlineLevel="0" collapsed="false">
      <c r="A54" s="11"/>
      <c r="B54" s="12"/>
      <c r="C54" s="12"/>
      <c r="D54" s="12"/>
    </row>
    <row r="55" customFormat="false" ht="14.15" hidden="false" customHeight="true" outlineLevel="0" collapsed="false">
      <c r="A55" s="11"/>
      <c r="B55" s="12"/>
      <c r="C55" s="12"/>
      <c r="D55" s="12"/>
    </row>
    <row r="56" customFormat="false" ht="14.15" hidden="false" customHeight="true" outlineLevel="0" collapsed="false">
      <c r="A56" s="11"/>
      <c r="B56" s="12"/>
      <c r="C56" s="12"/>
      <c r="D56" s="12"/>
    </row>
    <row r="57" customFormat="false" ht="14.15" hidden="false" customHeight="true" outlineLevel="0" collapsed="false">
      <c r="A57" s="11"/>
      <c r="B57" s="12"/>
      <c r="C57" s="12"/>
      <c r="D57" s="12"/>
    </row>
    <row r="58" customFormat="false" ht="14.15" hidden="false" customHeight="true" outlineLevel="0" collapsed="false">
      <c r="A58" s="11"/>
      <c r="B58" s="12"/>
      <c r="C58" s="12"/>
      <c r="D58" s="12"/>
    </row>
    <row r="59" customFormat="false" ht="14.15" hidden="false" customHeight="true" outlineLevel="0" collapsed="false">
      <c r="A59" s="11"/>
      <c r="B59" s="12"/>
      <c r="C59" s="12"/>
      <c r="D59" s="12"/>
    </row>
    <row r="60" customFormat="false" ht="14.15" hidden="false" customHeight="true" outlineLevel="0" collapsed="false">
      <c r="A60" s="11"/>
      <c r="B60" s="12"/>
      <c r="C60" s="12"/>
      <c r="D60" s="12"/>
    </row>
    <row r="61" customFormat="false" ht="14.15" hidden="false" customHeight="true" outlineLevel="0" collapsed="false">
      <c r="A61" s="11"/>
      <c r="B61" s="12"/>
      <c r="C61" s="12"/>
      <c r="D61" s="12"/>
    </row>
    <row r="62" customFormat="false" ht="14.15" hidden="false" customHeight="true" outlineLevel="0" collapsed="false">
      <c r="A62" s="11"/>
      <c r="B62" s="12"/>
      <c r="C62" s="12"/>
      <c r="D62" s="12"/>
    </row>
    <row r="63" customFormat="false" ht="14.15" hidden="false" customHeight="true" outlineLevel="0" collapsed="false">
      <c r="A63" s="11"/>
      <c r="B63" s="12"/>
      <c r="C63" s="12"/>
      <c r="D63" s="12"/>
    </row>
    <row r="64" customFormat="false" ht="14.15" hidden="false" customHeight="true" outlineLevel="0" collapsed="false">
      <c r="A64" s="11"/>
      <c r="B64" s="12"/>
      <c r="C64" s="12"/>
      <c r="D64" s="12"/>
    </row>
    <row r="65" customFormat="false" ht="14.15" hidden="false" customHeight="true" outlineLevel="0" collapsed="false">
      <c r="A65" s="11"/>
      <c r="B65" s="12"/>
      <c r="C65" s="12"/>
      <c r="D65" s="12"/>
    </row>
    <row r="66" customFormat="false" ht="14.15" hidden="false" customHeight="true" outlineLevel="0" collapsed="false">
      <c r="A66" s="11"/>
      <c r="B66" s="12"/>
      <c r="C66" s="12"/>
      <c r="D66" s="12"/>
    </row>
    <row r="67" customFormat="false" ht="14.15" hidden="false" customHeight="true" outlineLevel="0" collapsed="false">
      <c r="A67" s="11"/>
      <c r="B67" s="12"/>
      <c r="C67" s="12"/>
      <c r="D67" s="12"/>
    </row>
    <row r="68" customFormat="false" ht="14.15" hidden="false" customHeight="true" outlineLevel="0" collapsed="false">
      <c r="A68" s="11"/>
      <c r="B68" s="12"/>
      <c r="C68" s="12"/>
      <c r="D68" s="12"/>
    </row>
    <row r="69" customFormat="false" ht="14.15" hidden="false" customHeight="true" outlineLevel="0" collapsed="false">
      <c r="A69" s="12"/>
      <c r="B69" s="12"/>
      <c r="C69" s="12"/>
      <c r="D69" s="12"/>
    </row>
    <row r="70" customFormat="false" ht="14.15" hidden="false" customHeight="true" outlineLevel="0" collapsed="false"/>
    <row r="71" customFormat="false" ht="14.15" hidden="false" customHeight="true" outlineLevel="0" collapsed="false"/>
    <row r="72" customFormat="false" ht="14.15" hidden="false" customHeight="true" outlineLevel="0" collapsed="false"/>
    <row r="73" customFormat="false" ht="14.15" hidden="false" customHeight="true" outlineLevel="0" collapsed="false"/>
    <row r="74" customFormat="false" ht="14.15" hidden="false" customHeight="true" outlineLevel="0" collapsed="false"/>
    <row r="75" customFormat="false" ht="14.15" hidden="false" customHeight="true" outlineLevel="0" collapsed="false"/>
    <row r="76" customFormat="false" ht="14.15" hidden="false" customHeight="true" outlineLevel="0" collapsed="false"/>
    <row r="77" customFormat="false" ht="14.15" hidden="false" customHeight="true" outlineLevel="0" collapsed="false"/>
    <row r="78" customFormat="false" ht="14.15" hidden="false" customHeight="true" outlineLevel="0" collapsed="false"/>
    <row r="79" customFormat="false" ht="14.15" hidden="false" customHeight="true" outlineLevel="0" collapsed="false"/>
  </sheetData>
  <dataValidations count="1">
    <dataValidation allowBlank="false" errorStyle="stop" operator="between" showDropDown="false" showErrorMessage="false" showInputMessage="false" sqref="E2:E35 E37:E38" type="list">
      <formula1>'Category Summary'!$A$2:$A$9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3" width="46"/>
    <col collapsed="false" customWidth="true" hidden="false" outlineLevel="0" max="2" min="2" style="13" width="10"/>
    <col collapsed="false" customWidth="true" hidden="false" outlineLevel="0" max="3" min="3" style="13" width="70"/>
    <col collapsed="false" customWidth="true" hidden="false" outlineLevel="0" max="4" min="4" style="13" width="24"/>
  </cols>
  <sheetData>
    <row r="1" customFormat="false" ht="15" hidden="false" customHeight="false" outlineLevel="0" collapsed="false">
      <c r="A1" s="14" t="s">
        <v>4</v>
      </c>
      <c r="B1" s="14" t="s">
        <v>149</v>
      </c>
      <c r="C1" s="14" t="s">
        <v>150</v>
      </c>
      <c r="D1" s="14" t="s">
        <v>151</v>
      </c>
    </row>
    <row r="2" customFormat="false" ht="23.85" hidden="false" customHeight="false" outlineLevel="0" collapsed="false">
      <c r="A2" s="15" t="s">
        <v>9</v>
      </c>
      <c r="B2" s="15" t="n">
        <f aca="false">COUNTIF('Competency Questions'!$E$2:$E$42,A2)</f>
        <v>4</v>
      </c>
      <c r="C2" s="15" t="s">
        <v>152</v>
      </c>
      <c r="D2" s="15" t="s">
        <v>153</v>
      </c>
    </row>
    <row r="3" customFormat="false" ht="23.85" hidden="false" customHeight="false" outlineLevel="0" collapsed="false">
      <c r="A3" s="15" t="s">
        <v>26</v>
      </c>
      <c r="B3" s="15" t="n">
        <f aca="false">COUNTIF('Competency Questions'!$E$2:$E$42,A3)</f>
        <v>3</v>
      </c>
      <c r="C3" s="15" t="s">
        <v>154</v>
      </c>
      <c r="D3" s="15" t="s">
        <v>155</v>
      </c>
    </row>
    <row r="4" customFormat="false" ht="23.85" hidden="false" customHeight="false" outlineLevel="0" collapsed="false">
      <c r="A4" s="15" t="s">
        <v>39</v>
      </c>
      <c r="B4" s="15" t="n">
        <f aca="false">COUNTIF('Competency Questions'!$E$2:$E$42,A4)</f>
        <v>4</v>
      </c>
      <c r="C4" s="15" t="s">
        <v>156</v>
      </c>
      <c r="D4" s="15" t="s">
        <v>157</v>
      </c>
    </row>
    <row r="5" customFormat="false" ht="23.85" hidden="false" customHeight="false" outlineLevel="0" collapsed="false">
      <c r="A5" s="15" t="s">
        <v>56</v>
      </c>
      <c r="B5" s="15" t="n">
        <f aca="false">COUNTIF('Competency Questions'!$E$2:$E$42,A5)</f>
        <v>5</v>
      </c>
      <c r="C5" s="15" t="s">
        <v>158</v>
      </c>
      <c r="D5" s="15" t="s">
        <v>159</v>
      </c>
    </row>
    <row r="6" customFormat="false" ht="23.85" hidden="false" customHeight="false" outlineLevel="0" collapsed="false">
      <c r="A6" s="15" t="s">
        <v>77</v>
      </c>
      <c r="B6" s="15" t="n">
        <f aca="false">COUNTIF('Competency Questions'!$E$2:$E$42,A6)</f>
        <v>4</v>
      </c>
      <c r="C6" s="15" t="s">
        <v>160</v>
      </c>
      <c r="D6" s="15" t="s">
        <v>161</v>
      </c>
    </row>
    <row r="7" customFormat="false" ht="23.85" hidden="false" customHeight="false" outlineLevel="0" collapsed="false">
      <c r="A7" s="15" t="s">
        <v>94</v>
      </c>
      <c r="B7" s="15" t="n">
        <f aca="false">COUNTIF('Competency Questions'!$E$2:$E$42,A7)</f>
        <v>6</v>
      </c>
      <c r="C7" s="15" t="s">
        <v>162</v>
      </c>
      <c r="D7" s="15" t="s">
        <v>163</v>
      </c>
    </row>
    <row r="8" customFormat="false" ht="23.85" hidden="false" customHeight="false" outlineLevel="0" collapsed="false">
      <c r="A8" s="15" t="s">
        <v>119</v>
      </c>
      <c r="B8" s="15" t="n">
        <f aca="false">COUNTIF('Competency Questions'!$E$2:$E$42,A8)</f>
        <v>3</v>
      </c>
      <c r="C8" s="15" t="s">
        <v>164</v>
      </c>
      <c r="D8" s="15" t="s">
        <v>165</v>
      </c>
    </row>
    <row r="9" customFormat="false" ht="23.85" hidden="false" customHeight="false" outlineLevel="0" collapsed="false">
      <c r="A9" s="15" t="s">
        <v>132</v>
      </c>
      <c r="B9" s="15" t="n">
        <f aca="false">COUNTIF('Competency Questions'!$E$2:$E$42,A9)</f>
        <v>5</v>
      </c>
      <c r="C9" s="15" t="s">
        <v>166</v>
      </c>
      <c r="D9" s="15" t="s">
        <v>167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en-HK</dc:language>
  <cp:lastModifiedBy/>
  <dcterms:modified xsi:type="dcterms:W3CDTF">2026-06-16T12:38:23Z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